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165466debc54cf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60deea037c2f4421"/>
    <sheet name="Graph" sheetId="2" r:id="R659c28d369b44f70"/>
    <sheet name="Fit-Values" sheetId="3" r:id="Rba4a8265e65e4a5f"/>
  </sheets>
</workbook>
</file>

<file path=xl/sharedStrings.xml><?xml version="1.0" encoding="utf-8"?>
<sst xmlns="http://schemas.openxmlformats.org/spreadsheetml/2006/main" count="61" uniqueCount="61">
  <si>
    <t>NanoTemper Technologies</t>
  </si>
  <si>
    <t>MO.Affinity Analysis v2.2.7</t>
  </si>
  <si>
    <t>Origin of exported data</t>
  </si>
  <si>
    <t>Project Title:</t>
  </si>
  <si>
    <t>dPPR10-C5_binding_test</t>
  </si>
  <si>
    <t xml:space="preserve"> </t>
  </si>
  <si>
    <t>Comment:</t>
  </si>
  <si>
    <t/>
  </si>
  <si>
    <t>Project File Path:</t>
  </si>
  <si>
    <t>C:\Dropbox\BondLab\Data\MST data\dPPR10-Cy5.nta</t>
  </si>
  <si>
    <t>Analysis-Set Name:</t>
  </si>
  <si>
    <t>Analysis-Set #1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</si>
  <si>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</si>
  <si>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</si>
  <si>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</si>
  <si>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</si>
  <si>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</si>
  <si>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</si>
  <si>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</si>
  <si>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Manual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</si>
  <si>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</si>
  <si>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</si>
  <si>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</si>
  <si>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</si>
  <si>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</si>
  <si>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</si>
  <si>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dPPR10-Cy5 Tray</t>
  </si>
  <si>
    <t>Date of Measurement:</t>
  </si>
  <si>
    <t>2018-11-21 09:42:32.119 → 2018-11-21 10:34:45.465</t>
  </si>
  <si>
    <t>Capillary Type:</t>
  </si>
  <si>
    <t>Unspecified container/capillary type</t>
  </si>
  <si>
    <t>Target:</t>
  </si>
  <si>
    <t>atpH-fl</t>
  </si>
  <si>
    <t>TargetConcentration:</t>
  </si>
  <si>
    <t>Ligand:</t>
  </si>
  <si>
    <t>dPPR10-Cy5</t>
  </si>
  <si>
    <t>Measurement Settings</t>
  </si>
  <si>
    <t>MST-Power:</t>
  </si>
  <si>
    <t>Medium</t>
  </si>
  <si>
    <t>Excitation-Power:</t>
  </si>
  <si>
    <t>Excitation type:</t>
  </si>
  <si>
    <t>Blue</t>
  </si>
  <si>
    <t>Thermostat Setpoint:</t>
  </si>
  <si>
    <t>(disabled)</t>
  </si>
  <si>
    <t>Fit Results (Kd)</t>
  </si>
  <si>
    <t>Fit Model:</t>
  </si>
  <si>
    <t>Kd</t>
  </si>
  <si>
    <t>Bound</t>
  </si>
  <si>
    <t>Unbound</t>
  </si>
  <si>
    <t>TargetConc</t>
  </si>
  <si>
    <t>Standard Deviation:</t>
  </si>
  <si>
    <t>Kd Confidence:</t>
  </si>
  <si>
    <t>Dose Response Curve</t>
  </si>
  <si>
    <t>Shifted Dose Response Curve of Run atpH-fl_50_dPPR10-Cy5 of Experiment #03</t>
  </si>
  <si>
    <t>Shifted Dose Response Curve of Run atpH-fl_50_dPPR10-Cy5 of Experiment #02</t>
  </si>
  <si>
    <t>Shifted Dose Response Curve of Run atpH-fl_50_dPPR10-Cy5 of Experiment #01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</si>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</sst>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>
  <numFmts count="5">
    <numFmt numFmtId="164" formatCode="yyyy-MM-dd HH:mm:ss.000"/>
    <numFmt numFmtId="165" formatCode="General\s"/>
    <numFmt numFmtId="166" formatCode="General\%"/>
    <numFmt numFmtId="167" formatCode="General 🔒"/>
    <numFmt numFmtId="168" formatCode="±General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168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0deea037c2f4421" /><Relationship Type="http://schemas.openxmlformats.org/officeDocument/2006/relationships/worksheet" Target="worksheets/sheet2.xml" Id="R659c28d369b44f70" /><Relationship Type="http://schemas.openxmlformats.org/officeDocument/2006/relationships/worksheet" Target="worksheets/sheet3.xml" Id="Rba4a8265e65e4a5f" /><Relationship Type="http://schemas.openxmlformats.org/officeDocument/2006/relationships/styles" Target="styles.xml" Id="Re02d8e1ce46d489f" /><Relationship Type="http://schemas.openxmlformats.org/officeDocument/2006/relationships/sharedStrings" Target="sharedStrings.xml" Id="R9338a3aefb564fe2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kd Fit</c:v>
          </c:tx>
          <c:marker>
            <c:symbol val="none"/>
          </c:marker>
          <c:xVal>
            <c:numRef>
              <c:f>'Fit-Values'!$A$2:$A$151</c:f>
            </c:numRef>
          </c:xVal>
          <c:yVal>
            <c:numRef>
              <c:f>'Fit-Values'!$B$2:$B$151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1"/>
          <c:order val="1"/>
          <c:tx>
            <c:v>dPPR10-Cy5 Tray Dose 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RawData!A45:A60</c:f>
            </c:numRef>
          </c:xVal>
          <c:yVal>
            <c:numRef>
              <c:f>RawData!B45:B60</c:f>
            </c:numRef>
          </c:yVal>
          <c:smooth val="0"/>
        </ser>
        <ser xmlns="http://schemas.openxmlformats.org/drawingml/2006/chart">
          <c:idx val="2"/>
          <c:order val="2"/>
          <c:tx>
            <c:v>Run atpH-fl_50_dPPR10-Cy5 of Experiment #03 Shifted Dose 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RawData!E45:E60</c:f>
            </c:numRef>
          </c:xVal>
          <c:yVal>
            <c:numRef>
              <c:f>RawData!F45:F60</c:f>
            </c:numRef>
          </c:yVal>
          <c:smooth val="0"/>
        </ser>
        <ser xmlns="http://schemas.openxmlformats.org/drawingml/2006/chart">
          <c:idx val="3"/>
          <c:order val="3"/>
          <c:tx>
            <c:v>Run atpH-fl_50_dPPR10-Cy5 of Experiment #02 Shifted Dose 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RawData!H45:H61</c:f>
            </c:numRef>
          </c:xVal>
          <c:yVal>
            <c:numRef>
              <c:f>RawData!I45:I61</c:f>
            </c:numRef>
          </c:yVal>
          <c:smooth val="0"/>
        </ser>
        <ser xmlns="http://schemas.openxmlformats.org/drawingml/2006/chart">
          <c:idx val="4"/>
          <c:order val="4"/>
          <c:tx>
            <c:v>Run atpH-fl_50_dPPR10-Cy5 of Experiment #01 Shifted Dose 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RawData!K45:K61</c:f>
            </c:numRef>
          </c:xVal>
          <c:yVal>
            <c:numRef>
              <c:f>RawData!L45:L61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18.165100745974"/>
        <c:crosses val="autoZero"/>
      </c:valAx>
      <c:valAx>
        <c:axId val="2"/>
        <c:scaling>
          <c:orientation val="minMax"/>
          <c:max val="1129.95926797046"/>
          <c:min val="818.165100745974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5a5e13143b7d4c71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304800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5a5e13143b7d4c71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45f34c9d8b2c406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60"/>
  <sheetViews>
    <sheetView workbookViewId="0"/>
  </sheetViews>
  <sheetFormatPr defaultRowHeight="15"/>
  <cols>
    <col min="1" max="1" width="24.3088989257813" customWidth="1"/>
    <col min="2" max="2" width="48.9780752999442" customWidth="1"/>
    <col min="3" max="3" width="11.5308140345982" customWidth="1"/>
    <col min="4" max="4" width="10" customWidth="1"/>
    <col min="5" max="5" width="24.3088989257813" customWidth="1"/>
    <col min="6" max="6" width="11.8009033203125" customWidth="1"/>
    <col min="7" max="7" width="10" customWidth="1"/>
    <col min="8" max="8" width="24.3088989257813" customWidth="1"/>
    <col min="9" max="9" width="11.8009033203125" customWidth="1"/>
    <col min="10" max="10" width="10" customWidth="1"/>
    <col min="11" max="11" width="24.3088989257813" customWidth="1"/>
    <col min="12" max="12" width="11.8009033203125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7</v>
      </c>
      <c r="C6" s="0" t="s">
        <v>5</v>
      </c>
    </row>
    <row r="7">
      <c r="A7" s="4" t="s">
        <v>8</v>
      </c>
      <c r="B7" s="5" t="s">
        <v>9</v>
      </c>
      <c r="C7" s="0" t="s">
        <v>5</v>
      </c>
    </row>
    <row r="8">
      <c r="A8" s="4" t="s">
        <v>10</v>
      </c>
      <c r="B8" s="5" t="s">
        <v>11</v>
      </c>
      <c r="C8" s="0" t="s">
        <v>5</v>
      </c>
    </row>
    <row r="9">
      <c r="A9" s="4" t="s">
        <v>12</v>
      </c>
      <c r="B9" s="5" t="s">
        <v>13</v>
      </c>
      <c r="C9" s="0" t="s">
        <v>5</v>
      </c>
    </row>
    <row r="10">
      <c r="A10" s="4" t="s">
        <v>14</v>
      </c>
      <c r="B10" s="7">
        <v>43762.428388125</v>
      </c>
      <c r="C10" s="0" t="s">
        <v>5</v>
      </c>
    </row>
    <row r="12">
      <c r="A12" s="3" t="s">
        <v>15</v>
      </c>
      <c r="B12" s="3" t="s">
        <v>15</v>
      </c>
    </row>
    <row r="13">
      <c r="A13" s="4" t="s">
        <v>16</v>
      </c>
      <c r="B13" s="5" t="s">
        <v>17</v>
      </c>
    </row>
    <row r="14">
      <c r="A14" s="4" t="s">
        <v>18</v>
      </c>
      <c r="B14" s="5" t="s">
        <v>19</v>
      </c>
    </row>
    <row r="15">
      <c r="A15" s="4" t="s">
        <v>20</v>
      </c>
      <c r="B15" s="8">
        <v>-1</v>
      </c>
    </row>
    <row r="16">
      <c r="A16" s="4" t="s">
        <v>21</v>
      </c>
      <c r="B16" s="8">
        <v>0</v>
      </c>
    </row>
    <row r="17">
      <c r="A17" s="4" t="s">
        <v>22</v>
      </c>
      <c r="B17" s="8">
        <v>19</v>
      </c>
    </row>
    <row r="18">
      <c r="A18" s="4" t="s">
        <v>23</v>
      </c>
      <c r="B18" s="8">
        <v>20</v>
      </c>
    </row>
    <row r="20">
      <c r="A20" s="3" t="s">
        <v>24</v>
      </c>
      <c r="B20" s="3" t="s">
        <v>24</v>
      </c>
    </row>
    <row r="21">
      <c r="A21" s="4" t="s">
        <v>25</v>
      </c>
      <c r="B21" s="5" t="s">
        <v>26</v>
      </c>
      <c r="C21" s="0" t="s">
        <v>5</v>
      </c>
    </row>
    <row r="22">
      <c r="A22" s="4" t="s">
        <v>27</v>
      </c>
      <c r="B22" s="5" t="s">
        <v>28</v>
      </c>
      <c r="C22" s="0" t="s">
        <v>5</v>
      </c>
    </row>
    <row r="23">
      <c r="A23" s="4" t="s">
        <v>29</v>
      </c>
      <c r="B23" s="5" t="s">
        <v>30</v>
      </c>
      <c r="C23" s="0" t="s">
        <v>5</v>
      </c>
    </row>
    <row r="24">
      <c r="A24" s="4" t="s">
        <v>31</v>
      </c>
      <c r="B24" s="5" t="s">
        <v>32</v>
      </c>
    </row>
    <row r="25">
      <c r="A25" s="4" t="s">
        <v>33</v>
      </c>
      <c r="B25" s="5">
        <v>5e-08</v>
      </c>
    </row>
    <row r="26">
      <c r="A26" s="4" t="s">
        <v>34</v>
      </c>
      <c r="B26" s="5" t="s">
        <v>35</v>
      </c>
    </row>
    <row r="28">
      <c r="A28" s="3" t="s">
        <v>36</v>
      </c>
      <c r="B28" s="3" t="s">
        <v>36</v>
      </c>
    </row>
    <row r="29">
      <c r="A29" s="4" t="s">
        <v>37</v>
      </c>
      <c r="B29" s="5" t="s">
        <v>38</v>
      </c>
    </row>
    <row r="30">
      <c r="A30" s="4" t="s">
        <v>39</v>
      </c>
      <c r="B30" s="9">
        <v>30</v>
      </c>
    </row>
    <row r="31">
      <c r="A31" s="4" t="s">
        <v>40</v>
      </c>
      <c r="B31" s="5" t="s">
        <v>41</v>
      </c>
    </row>
    <row r="32">
      <c r="A32" s="4" t="s">
        <v>42</v>
      </c>
      <c r="B32" s="5" t="s">
        <v>43</v>
      </c>
    </row>
    <row r="34">
      <c r="A34" s="3" t="s">
        <v>44</v>
      </c>
      <c r="B34" s="3" t="s">
        <v>44</v>
      </c>
    </row>
    <row r="35">
      <c r="A35" s="4" t="s">
        <v>45</v>
      </c>
      <c r="B35" s="5" t="s">
        <v>46</v>
      </c>
    </row>
    <row r="36">
      <c r="A36" s="4" t="s">
        <v>47</v>
      </c>
      <c r="B36" s="5">
        <v>842.335957464347</v>
      </c>
    </row>
    <row r="37">
      <c r="A37" s="4" t="s">
        <v>48</v>
      </c>
      <c r="B37" s="5">
        <v>1097.34163065893</v>
      </c>
    </row>
    <row r="38">
      <c r="A38" s="4" t="s">
        <v>46</v>
      </c>
      <c r="B38" s="5">
        <v>4.33294073444594e-08</v>
      </c>
    </row>
    <row r="39">
      <c r="A39" s="4" t="s">
        <v>49</v>
      </c>
      <c r="B39" s="10">
        <v>5e-08</v>
      </c>
    </row>
    <row r="40">
      <c r="A40" s="4" t="s">
        <v>50</v>
      </c>
      <c r="B40" s="5">
        <v>7.9884553018738</v>
      </c>
    </row>
    <row r="41">
      <c r="A41" s="4" t="s">
        <v>51</v>
      </c>
      <c r="B41" s="11">
        <v>5.62001281675142e-09</v>
      </c>
    </row>
    <row r="43">
      <c r="A43" s="3" t="s">
        <v>52</v>
      </c>
      <c r="B43" s="3" t="s">
        <v>52</v>
      </c>
      <c r="C43" s="3" t="s">
        <v>52</v>
      </c>
      <c r="E43" s="3" t="s">
        <v>53</v>
      </c>
      <c r="F43" s="3" t="s">
        <v>53</v>
      </c>
      <c r="H43" s="3" t="s">
        <v>54</v>
      </c>
      <c r="I43" s="3" t="s">
        <v>54</v>
      </c>
      <c r="K43" s="3" t="s">
        <v>55</v>
      </c>
      <c r="L43" s="3" t="s">
        <v>55</v>
      </c>
    </row>
    <row r="44">
      <c r="A44" s="4" t="s">
        <v>56</v>
      </c>
      <c r="B44" s="12" t="s">
        <v>57</v>
      </c>
      <c r="C44" s="12" t="s">
        <v>58</v>
      </c>
      <c r="E44" s="4" t="s">
        <v>56</v>
      </c>
      <c r="F44" s="12" t="s">
        <v>57</v>
      </c>
      <c r="H44" s="4" t="s">
        <v>56</v>
      </c>
      <c r="I44" s="12" t="s">
        <v>57</v>
      </c>
      <c r="K44" s="4" t="s">
        <v>56</v>
      </c>
      <c r="L44" s="12" t="s">
        <v>57</v>
      </c>
    </row>
    <row r="45">
      <c r="A45" s="13">
        <v>3.5e-06</v>
      </c>
      <c r="B45" s="5">
        <v>847.962885900984</v>
      </c>
      <c r="C45" s="5">
        <v>3.41567726084352</v>
      </c>
      <c r="E45" s="13">
        <v>3.5e-06</v>
      </c>
      <c r="F45" s="5">
        <v>850.73726766731</v>
      </c>
      <c r="H45" s="13">
        <v>3.5e-06</v>
      </c>
      <c r="I45" s="5">
        <v>849.00344202096</v>
      </c>
      <c r="K45" s="13">
        <v>3.5e-06</v>
      </c>
      <c r="L45" s="5">
        <v>844.147948014682</v>
      </c>
    </row>
    <row r="46">
      <c r="A46" s="13">
        <v>1.75e-06</v>
      </c>
      <c r="B46" s="5">
        <v>855.992700981043</v>
      </c>
      <c r="C46" s="5">
        <v>6.02821430376958</v>
      </c>
      <c r="E46" s="13">
        <v>1.75e-06</v>
      </c>
      <c r="F46" s="5">
        <v>862.666271238735</v>
      </c>
      <c r="H46" s="13">
        <v>1.75e-06</v>
      </c>
      <c r="I46" s="5">
        <v>850.942158954645</v>
      </c>
      <c r="K46" s="13">
        <v>1.75e-06</v>
      </c>
      <c r="L46" s="5">
        <v>854.36967274975</v>
      </c>
    </row>
    <row r="47">
      <c r="A47" s="13">
        <v>8.75e-07</v>
      </c>
      <c r="B47" s="5">
        <v>859.203074277969</v>
      </c>
      <c r="C47" s="5">
        <v>5.19018032861423</v>
      </c>
      <c r="E47" s="13">
        <v>8.75e-07</v>
      </c>
      <c r="F47" s="5">
        <v>864.036234283325</v>
      </c>
      <c r="H47" s="13">
        <v>8.75e-07</v>
      </c>
      <c r="I47" s="5">
        <v>853.717553885595</v>
      </c>
      <c r="K47" s="13">
        <v>8.75e-07</v>
      </c>
      <c r="L47" s="5">
        <v>859.855434664986</v>
      </c>
    </row>
    <row r="48">
      <c r="A48" s="13">
        <v>4.375e-07</v>
      </c>
      <c r="B48" s="5">
        <v>862.694734934203</v>
      </c>
      <c r="C48" s="5">
        <v>7.24496447594549</v>
      </c>
      <c r="E48" s="13">
        <v>4.375e-07</v>
      </c>
      <c r="F48" s="5">
        <v>869.902671503523</v>
      </c>
      <c r="H48" s="13">
        <v>4.375e-07</v>
      </c>
      <c r="I48" s="5">
        <v>855.413301752741</v>
      </c>
      <c r="K48" s="13">
        <v>4.375e-07</v>
      </c>
      <c r="L48" s="5">
        <v>862.768231546345</v>
      </c>
    </row>
    <row r="49">
      <c r="A49" s="13">
        <v>2.1875e-07</v>
      </c>
      <c r="B49" s="5">
        <v>873.756900198687</v>
      </c>
      <c r="C49" s="5">
        <v>7.10044011842684</v>
      </c>
      <c r="E49" s="13">
        <v>2.1875e-07</v>
      </c>
      <c r="F49" s="5">
        <v>879.615723756156</v>
      </c>
      <c r="H49" s="13">
        <v>2.1875e-07</v>
      </c>
      <c r="I49" s="5">
        <v>875.794569028036</v>
      </c>
      <c r="K49" s="13">
        <v>2.1875e-07</v>
      </c>
      <c r="L49" s="5">
        <v>865.860407811869</v>
      </c>
    </row>
    <row r="50">
      <c r="A50" s="13">
        <v>1.0938e-07</v>
      </c>
      <c r="B50" s="5">
        <v>928.870120967431</v>
      </c>
      <c r="C50" s="5">
        <v>18.3919926844638</v>
      </c>
      <c r="E50" s="13">
        <v>1.0938e-07</v>
      </c>
      <c r="F50" s="5">
        <v>938.677308613339</v>
      </c>
      <c r="H50" s="13">
        <v>1.0938e-07</v>
      </c>
      <c r="I50" s="5">
        <v>940.28000923028</v>
      </c>
      <c r="K50" s="13">
        <v>1.0938e-07</v>
      </c>
      <c r="L50" s="5">
        <v>907.653045058673</v>
      </c>
    </row>
    <row r="51">
      <c r="A51" s="13">
        <v>5.469e-08</v>
      </c>
      <c r="B51" s="5">
        <v>1002.31143712935</v>
      </c>
      <c r="C51" s="5">
        <v>3.97009278077186</v>
      </c>
      <c r="E51" s="13">
        <v>5.469e-08</v>
      </c>
      <c r="F51" s="5">
        <v>998.65371164119</v>
      </c>
      <c r="H51" s="13">
        <v>5.469e-08</v>
      </c>
      <c r="I51" s="5">
        <v>1006.53350272273</v>
      </c>
      <c r="K51" s="13">
        <v>5.469e-08</v>
      </c>
      <c r="L51" s="5">
        <v>1001.74709702413</v>
      </c>
    </row>
    <row r="52">
      <c r="A52" s="13">
        <v>2.734e-08</v>
      </c>
      <c r="B52" s="5">
        <v>1039.43224878713</v>
      </c>
      <c r="C52" s="5">
        <v>8.48106829153429</v>
      </c>
      <c r="E52" s="13">
        <v>2.734e-08</v>
      </c>
      <c r="F52" s="5">
        <v>1031.00300359707</v>
      </c>
      <c r="H52" s="13">
        <v>2.734e-08</v>
      </c>
      <c r="I52" s="5">
        <v>1047.96420719375</v>
      </c>
      <c r="K52" s="13">
        <v>2.734e-08</v>
      </c>
      <c r="L52" s="5">
        <v>1039.32953557058</v>
      </c>
    </row>
    <row r="53">
      <c r="A53" s="13">
        <v>1.367e-08</v>
      </c>
      <c r="B53" s="5">
        <v>1067.45241213792</v>
      </c>
      <c r="C53" s="5">
        <v>3.3558855407307</v>
      </c>
      <c r="E53" s="13">
        <v>6.84e-09</v>
      </c>
      <c r="F53" s="5">
        <v>1075.70383635275</v>
      </c>
      <c r="H53" s="13">
        <v>1.367e-08</v>
      </c>
      <c r="I53" s="5">
        <v>1065.07944271518</v>
      </c>
      <c r="K53" s="13">
        <v>1.367e-08</v>
      </c>
      <c r="L53" s="5">
        <v>1069.82538156065</v>
      </c>
    </row>
    <row r="54">
      <c r="A54" s="13">
        <v>6.84e-09</v>
      </c>
      <c r="B54" s="5">
        <v>1079.205909188</v>
      </c>
      <c r="C54" s="5">
        <v>3.03309062083942</v>
      </c>
      <c r="E54" s="13">
        <v>3.42e-09</v>
      </c>
      <c r="F54" s="5">
        <v>1083.59132076596</v>
      </c>
      <c r="H54" s="13">
        <v>6.84e-09</v>
      </c>
      <c r="I54" s="5">
        <v>1080.92154635859</v>
      </c>
      <c r="K54" s="13">
        <v>6.84e-09</v>
      </c>
      <c r="L54" s="5">
        <v>1080.99234485265</v>
      </c>
    </row>
    <row r="55">
      <c r="A55" s="13">
        <v>3.42e-09</v>
      </c>
      <c r="B55" s="5">
        <v>1091.0147908176</v>
      </c>
      <c r="C55" s="5">
        <v>9.32717342628284</v>
      </c>
      <c r="E55" s="13">
        <v>1.71e-09</v>
      </c>
      <c r="F55" s="5">
        <v>1092.31058444609</v>
      </c>
      <c r="H55" s="13">
        <v>3.42e-09</v>
      </c>
      <c r="I55" s="5">
        <v>1087.9689202454</v>
      </c>
      <c r="K55" s="13">
        <v>3.42e-09</v>
      </c>
      <c r="L55" s="5">
        <v>1101.48413144143</v>
      </c>
    </row>
    <row r="56">
      <c r="A56" s="13">
        <v>1.71e-09</v>
      </c>
      <c r="B56" s="5">
        <v>1090.71529790397</v>
      </c>
      <c r="C56" s="5">
        <v>1.4699029573386</v>
      </c>
      <c r="E56" s="13">
        <v>8.5e-10</v>
      </c>
      <c r="F56" s="5">
        <v>1088.15551777914</v>
      </c>
      <c r="H56" s="13">
        <v>1.71e-09</v>
      </c>
      <c r="I56" s="5">
        <v>1089.41574792805</v>
      </c>
      <c r="K56" s="13">
        <v>1.71e-09</v>
      </c>
      <c r="L56" s="5">
        <v>1090.41956133776</v>
      </c>
    </row>
    <row r="57">
      <c r="A57" s="13">
        <v>8.5e-10</v>
      </c>
      <c r="B57" s="5">
        <v>1090.84510527482</v>
      </c>
      <c r="C57" s="5">
        <v>3.00621694272098</v>
      </c>
      <c r="E57" s="13">
        <v>4.3e-10</v>
      </c>
      <c r="F57" s="5">
        <v>1090.02825402045</v>
      </c>
      <c r="H57" s="13">
        <v>8.5e-10</v>
      </c>
      <c r="I57" s="5">
        <v>1094.09040675325</v>
      </c>
      <c r="K57" s="13">
        <v>8.5e-10</v>
      </c>
      <c r="L57" s="5">
        <v>1090.28939129209</v>
      </c>
    </row>
    <row r="58">
      <c r="A58" s="13">
        <v>4.3e-10</v>
      </c>
      <c r="B58" s="5">
        <v>1092.6147206808</v>
      </c>
      <c r="C58" s="5">
        <v>3.22585097017418</v>
      </c>
      <c r="E58" s="13">
        <v>2.1e-10</v>
      </c>
      <c r="F58" s="5">
        <v>1089.10284663138</v>
      </c>
      <c r="H58" s="13">
        <v>4.3e-10</v>
      </c>
      <c r="I58" s="5">
        <v>1091.58658434137</v>
      </c>
      <c r="K58" s="13">
        <v>4.3e-10</v>
      </c>
      <c r="L58" s="5">
        <v>1096.22932368058</v>
      </c>
    </row>
    <row r="59">
      <c r="A59" s="13">
        <v>2.1e-10</v>
      </c>
      <c r="B59" s="5">
        <v>1092.60673874543</v>
      </c>
      <c r="C59" s="5">
        <v>7.51073206457638</v>
      </c>
      <c r="E59" s="13">
        <v>1.1e-10</v>
      </c>
      <c r="F59" s="5">
        <v>1089.28808791796</v>
      </c>
      <c r="H59" s="13">
        <v>2.1e-10</v>
      </c>
      <c r="I59" s="5">
        <v>1087.48822985495</v>
      </c>
      <c r="K59" s="13">
        <v>2.1e-10</v>
      </c>
      <c r="L59" s="5">
        <v>1101.22913974996</v>
      </c>
    </row>
    <row r="60">
      <c r="A60" s="13">
        <v>1.1e-10</v>
      </c>
      <c r="B60" s="5">
        <v>1095.74731756402</v>
      </c>
      <c r="C60" s="5">
        <v>7.50240755519982</v>
      </c>
      <c r="H60" s="13">
        <v>1.1e-10</v>
      </c>
      <c r="I60" s="5">
        <v>1093.97744407235</v>
      </c>
      <c r="K60" s="13">
        <v>1.1e-10</v>
      </c>
      <c r="L60" s="5">
        <v>1103.97642070176</v>
      </c>
    </row>
  </sheetData>
  <mergeCells>
    <mergeCell ref="A1:B1"/>
    <mergeCell ref="A2:B2"/>
    <mergeCell ref="A4:B4"/>
    <mergeCell ref="A12:B12"/>
    <mergeCell ref="A20:B20"/>
    <mergeCell ref="A28:B28"/>
    <mergeCell ref="A34:B34"/>
    <mergeCell ref="A43:C43"/>
    <mergeCell ref="E43:F43"/>
    <mergeCell ref="H43:I43"/>
    <mergeCell ref="K43:L4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45f34c9d8b2c406f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51"/>
  <sheetViews>
    <sheetView workbookViewId="0"/>
  </sheetViews>
  <sheetFormatPr defaultRowHeight="15"/>
  <sheetData>
    <row r="1">
      <c r="A1" s="0" t="s">
        <v>59</v>
      </c>
      <c r="B1" s="0" t="s">
        <v>60</v>
      </c>
      <c r="C1" s="0" t="s">
        <v>60</v>
      </c>
    </row>
    <row r="2">
      <c r="A2" s="0">
        <v>3.26625591051848e-06</v>
      </c>
      <c r="B2" s="0">
        <f>((RawData!B36-RawData!B37)*(RawData!B39+A2+RawData!B38-SQRT(POWER(RawData!B39+A2+RawData!B38,2)-(4*RawData!B39*A2)))/(2*RawData!B39))+RawData!B37</f>
      </c>
    </row>
    <row r="3">
      <c r="A3" s="0">
        <v>3.04812219228483e-06</v>
      </c>
      <c r="B3" s="0">
        <f>((RawData!B36-RawData!B37)*(RawData!B39+A3+RawData!B38-SQRT(POWER(RawData!B39+A3+RawData!B38,2)-(4*RawData!B39*A3)))/(2*RawData!B39))+RawData!B37</f>
      </c>
    </row>
    <row r="4">
      <c r="A4" s="0">
        <v>2.84455632186654e-06</v>
      </c>
      <c r="B4" s="0">
        <f>((RawData!B36-RawData!B37)*(RawData!B39+A4+RawData!B38-SQRT(POWER(RawData!B39+A4+RawData!B38,2)-(4*RawData!B39*A4)))/(2*RawData!B39))+RawData!B37</f>
      </c>
    </row>
    <row r="5">
      <c r="A5" s="0">
        <v>2.65458539974266e-06</v>
      </c>
      <c r="B5" s="0">
        <f>((RawData!B36-RawData!B37)*(RawData!B39+A5+RawData!B38-SQRT(POWER(RawData!B39+A5+RawData!B38,2)-(4*RawData!B39*A5)))/(2*RawData!B39))+RawData!B37</f>
      </c>
    </row>
    <row r="6">
      <c r="A6" s="0">
        <v>2.47730150053872e-06</v>
      </c>
      <c r="B6" s="0">
        <f>((RawData!B36-RawData!B37)*(RawData!B39+A6+RawData!B38-SQRT(POWER(RawData!B39+A6+RawData!B38,2)-(4*RawData!B39*A6)))/(2*RawData!B39))+RawData!B37</f>
      </c>
    </row>
    <row r="7">
      <c r="A7" s="0">
        <v>2.31185733379168e-06</v>
      </c>
      <c r="B7" s="0">
        <f>((RawData!B36-RawData!B37)*(RawData!B39+A7+RawData!B38-SQRT(POWER(RawData!B39+A7+RawData!B38,2)-(4*RawData!B39*A7)))/(2*RawData!B39))+RawData!B37</f>
      </c>
    </row>
    <row r="8">
      <c r="A8" s="0">
        <v>2.15746219450645e-06</v>
      </c>
      <c r="B8" s="0">
        <f>((RawData!B36-RawData!B37)*(RawData!B39+A8+RawData!B38-SQRT(POWER(RawData!B39+A8+RawData!B38,2)-(4*RawData!B39*A8)))/(2*RawData!B39))+RawData!B37</f>
      </c>
    </row>
    <row r="9">
      <c r="A9" s="0">
        <v>2.01337818415054e-06</v>
      </c>
      <c r="B9" s="0">
        <f>((RawData!B36-RawData!B37)*(RawData!B39+A9+RawData!B38-SQRT(POWER(RawData!B39+A9+RawData!B38,2)-(4*RawData!B39*A9)))/(2*RawData!B39))+RawData!B37</f>
      </c>
    </row>
    <row r="10">
      <c r="A10" s="0">
        <v>1.8789166840259e-06</v>
      </c>
      <c r="B10" s="0">
        <f>((RawData!B36-RawData!B37)*(RawData!B39+A10+RawData!B38-SQRT(POWER(RawData!B39+A10+RawData!B38,2)-(4*RawData!B39*A10)))/(2*RawData!B39))+RawData!B37</f>
      </c>
    </row>
    <row r="11">
      <c r="A11" s="0">
        <v>1.75343506416326e-06</v>
      </c>
      <c r="B11" s="0">
        <f>((RawData!B36-RawData!B37)*(RawData!B39+A11+RawData!B38-SQRT(POWER(RawData!B39+A11+RawData!B38,2)-(4*RawData!B39*A11)))/(2*RawData!B39))+RawData!B37</f>
      </c>
    </row>
    <row r="12">
      <c r="A12" s="0">
        <v>1.6363336120096e-06</v>
      </c>
      <c r="B12" s="0">
        <f>((RawData!B36-RawData!B37)*(RawData!B39+A12+RawData!B38-SQRT(POWER(RawData!B39+A12+RawData!B38,2)-(4*RawData!B39*A12)))/(2*RawData!B39))+RawData!B37</f>
      </c>
    </row>
    <row r="13">
      <c r="A13" s="0">
        <v>1.5270526662304e-06</v>
      </c>
      <c r="B13" s="0">
        <f>((RawData!B36-RawData!B37)*(RawData!B39+A13+RawData!B38-SQRT(POWER(RawData!B39+A13+RawData!B38,2)-(4*RawData!B39*A13)))/(2*RawData!B39))+RawData!B37</f>
      </c>
    </row>
    <row r="14">
      <c r="A14" s="0">
        <v>1.42506994192801e-06</v>
      </c>
      <c r="B14" s="0">
        <f>((RawData!B36-RawData!B37)*(RawData!B39+A14+RawData!B38-SQRT(POWER(RawData!B39+A14+RawData!B38,2)-(4*RawData!B39*A14)))/(2*RawData!B39))+RawData!B37</f>
      </c>
    </row>
    <row r="15">
      <c r="A15" s="0">
        <v>1.32989803449274e-06</v>
      </c>
      <c r="B15" s="0">
        <f>((RawData!B36-RawData!B37)*(RawData!B39+A15+RawData!B38-SQRT(POWER(RawData!B39+A15+RawData!B38,2)-(4*RawData!B39*A15)))/(2*RawData!B39))+RawData!B37</f>
      </c>
    </row>
    <row r="16">
      <c r="A16" s="0">
        <v>1.24108209015681e-06</v>
      </c>
      <c r="B16" s="0">
        <f>((RawData!B36-RawData!B37)*(RawData!B39+A16+RawData!B38-SQRT(POWER(RawData!B39+A16+RawData!B38,2)-(4*RawData!B39*A16)))/(2*RawData!B39))+RawData!B37</f>
      </c>
    </row>
    <row r="17">
      <c r="A17" s="0">
        <v>1.15819763211809e-06</v>
      </c>
      <c r="B17" s="0">
        <f>((RawData!B36-RawData!B37)*(RawData!B39+A17+RawData!B38-SQRT(POWER(RawData!B39+A17+RawData!B38,2)-(4*RawData!B39*A17)))/(2*RawData!B39))+RawData!B37</f>
      </c>
    </row>
    <row r="18">
      <c r="A18" s="0">
        <v>1.08084853184406e-06</v>
      </c>
      <c r="B18" s="0">
        <f>((RawData!B36-RawData!B37)*(RawData!B39+A18+RawData!B38-SQRT(POWER(RawData!B39+A18+RawData!B38,2)-(4*RawData!B39*A18)))/(2*RawData!B39))+RawData!B37</f>
      </c>
    </row>
    <row r="19">
      <c r="A19" s="0">
        <v>1.00866511586026e-06</v>
      </c>
      <c r="B19" s="0">
        <f>((RawData!B36-RawData!B37)*(RawData!B39+A19+RawData!B38-SQRT(POWER(RawData!B39+A19+RawData!B38,2)-(4*RawData!B39*A19)))/(2*RawData!B39))+RawData!B37</f>
      </c>
    </row>
    <row r="20">
      <c r="A20" s="0">
        <v>9.41302398974963e-07</v>
      </c>
      <c r="B20" s="0">
        <f>((RawData!B36-RawData!B37)*(RawData!B39+A20+RawData!B38-SQRT(POWER(RawData!B39+A20+RawData!B38,2)-(4*RawData!B39*A20)))/(2*RawData!B39))+RawData!B37</f>
      </c>
    </row>
    <row r="21">
      <c r="A21" s="0">
        <v>8.78438435496343e-07</v>
      </c>
      <c r="B21" s="0">
        <f>((RawData!B36-RawData!B37)*(RawData!B39+A21+RawData!B38-SQRT(POWER(RawData!B39+A21+RawData!B38,2)-(4*RawData!B39*A21)))/(2*RawData!B39))+RawData!B37</f>
      </c>
    </row>
    <row r="22">
      <c r="A22" s="0">
        <v>8.19772780561868e-07</v>
      </c>
      <c r="B22" s="0">
        <f>((RawData!B36-RawData!B37)*(RawData!B39+A22+RawData!B38-SQRT(POWER(RawData!B39+A22+RawData!B38,2)-(4*RawData!B39*A22)))/(2*RawData!B39))+RawData!B37</f>
      </c>
    </row>
    <row r="23">
      <c r="A23" s="0">
        <v>7.65025054226392e-07</v>
      </c>
      <c r="B23" s="0">
        <f>((RawData!B36-RawData!B37)*(RawData!B39+A23+RawData!B38-SQRT(POWER(RawData!B39+A23+RawData!B38,2)-(4*RawData!B39*A23)))/(2*RawData!B39))+RawData!B37</f>
      </c>
    </row>
    <row r="24">
      <c r="A24" s="0">
        <v>7.13933601446193e-07</v>
      </c>
      <c r="B24" s="0">
        <f>((RawData!B36-RawData!B37)*(RawData!B39+A24+RawData!B38-SQRT(POWER(RawData!B39+A24+RawData!B38,2)-(4*RawData!B39*A24)))/(2*RawData!B39))+RawData!B37</f>
      </c>
    </row>
    <row r="25">
      <c r="A25" s="0">
        <v>6.66254241554678e-07</v>
      </c>
      <c r="B25" s="0">
        <f>((RawData!B36-RawData!B37)*(RawData!B39+A25+RawData!B38-SQRT(POWER(RawData!B39+A25+RawData!B38,2)-(4*RawData!B39*A25)))/(2*RawData!B39))+RawData!B37</f>
      </c>
    </row>
    <row r="26">
      <c r="A26" s="0">
        <v>6.21759101253136e-07</v>
      </c>
      <c r="B26" s="0">
        <f>((RawData!B36-RawData!B37)*(RawData!B39+A26+RawData!B38-SQRT(POWER(RawData!B39+A26+RawData!B38,2)-(4*RawData!B39*A26)))/(2*RawData!B39))+RawData!B37</f>
      </c>
    </row>
    <row r="27">
      <c r="A27" s="0">
        <v>5.80235525539061e-07</v>
      </c>
      <c r="B27" s="0">
        <f>((RawData!B36-RawData!B37)*(RawData!B39+A27+RawData!B38-SQRT(POWER(RawData!B39+A27+RawData!B38,2)-(4*RawData!B39*A27)))/(2*RawData!B39))+RawData!B37</f>
      </c>
    </row>
    <row r="28">
      <c r="A28" s="0">
        <v>5.41485061367073e-07</v>
      </c>
      <c r="B28" s="0">
        <f>((RawData!B36-RawData!B37)*(RawData!B39+A28+RawData!B38-SQRT(POWER(RawData!B39+A28+RawData!B38,2)-(4*RawData!B39*A28)))/(2*RawData!B39))+RawData!B37</f>
      </c>
    </row>
    <row r="29">
      <c r="A29" s="0">
        <v>5.05322509185047e-07</v>
      </c>
      <c r="B29" s="0">
        <f>((RawData!B36-RawData!B37)*(RawData!B39+A29+RawData!B38-SQRT(POWER(RawData!B39+A29+RawData!B38,2)-(4*RawData!B39*A29)))/(2*RawData!B39))+RawData!B37</f>
      </c>
    </row>
    <row r="30">
      <c r="A30" s="0">
        <v>4.71575037812483e-07</v>
      </c>
      <c r="B30" s="0">
        <f>((RawData!B36-RawData!B37)*(RawData!B39+A30+RawData!B38-SQRT(POWER(RawData!B39+A30+RawData!B38,2)-(4*RawData!B39*A30)))/(2*RawData!B39))+RawData!B37</f>
      </c>
    </row>
    <row r="31">
      <c r="A31" s="0">
        <v>4.40081358430857e-07</v>
      </c>
      <c r="B31" s="0">
        <f>((RawData!B36-RawData!B37)*(RawData!B39+A31+RawData!B38-SQRT(POWER(RawData!B39+A31+RawData!B38,2)-(4*RawData!B39*A31)))/(2*RawData!B39))+RawData!B37</f>
      </c>
    </row>
    <row r="32">
      <c r="A32" s="0">
        <v>4.10690953738225e-07</v>
      </c>
      <c r="B32" s="0">
        <f>((RawData!B36-RawData!B37)*(RawData!B39+A32+RawData!B38-SQRT(POWER(RawData!B39+A32+RawData!B38,2)-(4*RawData!B39*A32)))/(2*RawData!B39))+RawData!B37</f>
      </c>
    </row>
    <row r="33">
      <c r="A33" s="0">
        <v>3.83263358583986e-07</v>
      </c>
      <c r="B33" s="0">
        <f>((RawData!B36-RawData!B37)*(RawData!B39+A33+RawData!B38-SQRT(POWER(RawData!B39+A33+RawData!B38,2)-(4*RawData!B39*A33)))/(2*RawData!B39))+RawData!B37</f>
      </c>
    </row>
    <row r="34">
      <c r="A34" s="0">
        <v>3.57667488645745e-07</v>
      </c>
      <c r="B34" s="0">
        <f>((RawData!B36-RawData!B37)*(RawData!B39+A34+RawData!B38-SQRT(POWER(RawData!B39+A34+RawData!B38,2)-(4*RawData!B39*A34)))/(2*RawData!B39))+RawData!B37</f>
      </c>
    </row>
    <row r="35">
      <c r="A35" s="0">
        <v>3.33781013939848e-07</v>
      </c>
      <c r="B35" s="0">
        <f>((RawData!B36-RawData!B37)*(RawData!B39+A35+RawData!B38-SQRT(POWER(RawData!B39+A35+RawData!B38,2)-(4*RawData!B39*A35)))/(2*RawData!B39))+RawData!B37</f>
      </c>
    </row>
    <row r="36">
      <c r="A36" s="0">
        <v>3.11489774171394e-07</v>
      </c>
      <c r="B36" s="0">
        <f>((RawData!B36-RawData!B37)*(RawData!B39+A36+RawData!B38-SQRT(POWER(RawData!B39+A36+RawData!B38,2)-(4*RawData!B39*A36)))/(2*RawData!B39))+RawData!B37</f>
      </c>
    </row>
    <row r="37">
      <c r="A37" s="0">
        <v>2.90687233129538e-07</v>
      </c>
      <c r="B37" s="0">
        <f>((RawData!B36-RawData!B37)*(RawData!B39+A37+RawData!B38-SQRT(POWER(RawData!B39+A37+RawData!B38,2)-(4*RawData!B39*A37)))/(2*RawData!B39))+RawData!B37</f>
      </c>
    </row>
    <row r="38">
      <c r="A38" s="0">
        <v>2.71273969520462e-07</v>
      </c>
      <c r="B38" s="0">
        <f>((RawData!B36-RawData!B37)*(RawData!B39+A38+RawData!B38-SQRT(POWER(RawData!B39+A38+RawData!B38,2)-(4*RawData!B39*A38)))/(2*RawData!B39))+RawData!B37</f>
      </c>
    </row>
    <row r="39">
      <c r="A39" s="0">
        <v>2.53157201804577e-07</v>
      </c>
      <c r="B39" s="0">
        <f>((RawData!B36-RawData!B37)*(RawData!B39+A39+RawData!B38-SQRT(POWER(RawData!B39+A39+RawData!B38,2)-(4*RawData!B39*A39)))/(2*RawData!B39))+RawData!B37</f>
      </c>
    </row>
    <row r="40">
      <c r="A40" s="0">
        <v>2.36250344767006e-07</v>
      </c>
      <c r="B40" s="0">
        <f>((RawData!B36-RawData!B37)*(RawData!B39+A40+RawData!B38-SQRT(POWER(RawData!B39+A40+RawData!B38,2)-(4*RawData!B39*A40)))/(2*RawData!B39))+RawData!B37</f>
      </c>
    </row>
    <row r="41">
      <c r="A41" s="0">
        <v>2.20472595702075e-07</v>
      </c>
      <c r="B41" s="0">
        <f>((RawData!B36-RawData!B37)*(RawData!B39+A41+RawData!B38-SQRT(POWER(RawData!B39+A41+RawData!B38,2)-(4*RawData!B39*A41)))/(2*RawData!B39))+RawData!B37</f>
      </c>
    </row>
    <row r="42">
      <c r="A42" s="0">
        <v>2.05748548234072e-07</v>
      </c>
      <c r="B42" s="0">
        <f>((RawData!B36-RawData!B37)*(RawData!B39+A42+RawData!B38-SQRT(POWER(RawData!B39+A42+RawData!B38,2)-(4*RawData!B39*A42)))/(2*RawData!B39))+RawData!B37</f>
      </c>
    </row>
    <row r="43">
      <c r="A43" s="0">
        <v>1.9200783192861e-07</v>
      </c>
      <c r="B43" s="0">
        <f>((RawData!B36-RawData!B37)*(RawData!B39+A43+RawData!B38-SQRT(POWER(RawData!B39+A43+RawData!B38,2)-(4*RawData!B39*A43)))/(2*RawData!B39))+RawData!B37</f>
      </c>
    </row>
    <row r="44">
      <c r="A44" s="0">
        <v>1.79184775972189e-07</v>
      </c>
      <c r="B44" s="0">
        <f>((RawData!B36-RawData!B37)*(RawData!B39+A44+RawData!B38-SQRT(POWER(RawData!B39+A44+RawData!B38,2)-(4*RawData!B39*A44)))/(2*RawData!B39))+RawData!B37</f>
      </c>
    </row>
    <row r="45">
      <c r="A45" s="0">
        <v>1.67218095312598e-07</v>
      </c>
      <c r="B45" s="0">
        <f>((RawData!B36-RawData!B37)*(RawData!B39+A45+RawData!B38-SQRT(POWER(RawData!B39+A45+RawData!B38,2)-(4*RawData!B39*A45)))/(2*RawData!B39))+RawData!B37</f>
      </c>
    </row>
    <row r="46">
      <c r="A46" s="0">
        <v>1.56050597760119e-07</v>
      </c>
      <c r="B46" s="0">
        <f>((RawData!B36-RawData!B37)*(RawData!B39+A46+RawData!B38-SQRT(POWER(RawData!B39+A46+RawData!B38,2)-(4*RawData!B39*A46)))/(2*RawData!B39))+RawData!B37</f>
      </c>
    </row>
    <row r="47">
      <c r="A47" s="0">
        <v>1.45628910649695e-07</v>
      </c>
      <c r="B47" s="0">
        <f>((RawData!B36-RawData!B37)*(RawData!B39+A47+RawData!B38-SQRT(POWER(RawData!B39+A47+RawData!B38,2)-(4*RawData!B39*A47)))/(2*RawData!B39))+RawData!B37</f>
      </c>
    </row>
    <row r="48">
      <c r="A48" s="0">
        <v>1.35903225757695e-07</v>
      </c>
      <c r="B48" s="0">
        <f>((RawData!B36-RawData!B37)*(RawData!B39+A48+RawData!B38-SQRT(POWER(RawData!B39+A48+RawData!B38,2)-(4*RawData!B39*A48)))/(2*RawData!B39))+RawData!B37</f>
      </c>
    </row>
    <row r="49">
      <c r="A49" s="0">
        <v>1.26827061254171e-07</v>
      </c>
      <c r="B49" s="0">
        <f>((RawData!B36-RawData!B37)*(RawData!B39+A49+RawData!B38-SQRT(POWER(RawData!B39+A49+RawData!B38,2)-(4*RawData!B39*A49)))/(2*RawData!B39))+RawData!B37</f>
      </c>
    </row>
    <row r="50">
      <c r="A50" s="0">
        <v>1.18357039552893e-07</v>
      </c>
      <c r="B50" s="0">
        <f>((RawData!B36-RawData!B37)*(RawData!B39+A50+RawData!B38-SQRT(POWER(RawData!B39+A50+RawData!B38,2)-(4*RawData!B39*A50)))/(2*RawData!B39))+RawData!B37</f>
      </c>
    </row>
    <row r="51">
      <c r="A51" s="0">
        <v>1.10452679997459e-07</v>
      </c>
      <c r="B51" s="0">
        <f>((RawData!B36-RawData!B37)*(RawData!B39+A51+RawData!B38-SQRT(POWER(RawData!B39+A51+RawData!B38,2)-(4*RawData!B39*A51)))/(2*RawData!B39))+RawData!B37</f>
      </c>
    </row>
    <row r="52">
      <c r="A52" s="0">
        <v>1.03076205392659e-07</v>
      </c>
      <c r="B52" s="0">
        <f>((RawData!B36-RawData!B37)*(RawData!B39+A52+RawData!B38-SQRT(POWER(RawData!B39+A52+RawData!B38,2)-(4*RawData!B39*A52)))/(2*RawData!B39))+RawData!B37</f>
      </c>
    </row>
    <row r="53">
      <c r="A53" s="0">
        <v>9.61923614564544e-08</v>
      </c>
      <c r="B53" s="0">
        <f>((RawData!B36-RawData!B37)*(RawData!B39+A53+RawData!B38-SQRT(POWER(RawData!B39+A53+RawData!B38,2)-(4*RawData!B39*A53)))/(2*RawData!B39))+RawData!B37</f>
      </c>
    </row>
    <row r="54">
      <c r="A54" s="0">
        <v>8.97682483296784e-08</v>
      </c>
      <c r="B54" s="0">
        <f>((RawData!B36-RawData!B37)*(RawData!B39+A54+RawData!B38-SQRT(POWER(RawData!B39+A54+RawData!B38,2)-(4*RawData!B39*A54)))/(2*RawData!B39))+RawData!B37</f>
      </c>
    </row>
    <row r="55">
      <c r="A55" s="0">
        <v>8.37731633382008e-08</v>
      </c>
      <c r="B55" s="0">
        <f>((RawData!B36-RawData!B37)*(RawData!B39+A55+RawData!B38-SQRT(POWER(RawData!B39+A55+RawData!B38,2)-(4*RawData!B39*A55)))/(2*RawData!B39))+RawData!B37</f>
      </c>
    </row>
    <row r="56">
      <c r="A56" s="0">
        <v>7.81784542560653e-08</v>
      </c>
      <c r="B56" s="0">
        <f>((RawData!B36-RawData!B37)*(RawData!B39+A56+RawData!B38-SQRT(POWER(RawData!B39+A56+RawData!B38,2)-(4*RawData!B39*A56)))/(2*RawData!B39))+RawData!B37</f>
      </c>
    </row>
    <row r="57">
      <c r="A57" s="0">
        <v>7.29573823683063e-08</v>
      </c>
      <c r="B57" s="0">
        <f>((RawData!B36-RawData!B37)*(RawData!B39+A57+RawData!B38-SQRT(POWER(RawData!B39+A57+RawData!B38,2)-(4*RawData!B39*A57)))/(2*RawData!B39))+RawData!B37</f>
      </c>
    </row>
    <row r="58">
      <c r="A58" s="0">
        <v>6.80849946789821e-08</v>
      </c>
      <c r="B58" s="0">
        <f>((RawData!B36-RawData!B37)*(RawData!B39+A58+RawData!B38-SQRT(POWER(RawData!B39+A58+RawData!B38,2)-(4*RawData!B39*A58)))/(2*RawData!B39))+RawData!B37</f>
      </c>
    </row>
    <row r="59">
      <c r="A59" s="0">
        <v>6.35380046536699e-08</v>
      </c>
      <c r="B59" s="0">
        <f>((RawData!B36-RawData!B37)*(RawData!B39+A59+RawData!B38-SQRT(POWER(RawData!B39+A59+RawData!B38,2)-(4*RawData!B39*A59)))/(2*RawData!B39))+RawData!B37</f>
      </c>
    </row>
    <row r="60">
      <c r="A60" s="0">
        <v>5.92946809264572e-08</v>
      </c>
      <c r="B60" s="0">
        <f>((RawData!B36-RawData!B37)*(RawData!B39+A60+RawData!B38-SQRT(POWER(RawData!B39+A60+RawData!B38,2)-(4*RawData!B39*A60)))/(2*RawData!B39))+RawData!B37</f>
      </c>
    </row>
    <row r="61">
      <c r="A61" s="0">
        <v>5.53347434395281e-08</v>
      </c>
      <c r="B61" s="0">
        <f>((RawData!B36-RawData!B37)*(RawData!B39+A61+RawData!B38-SQRT(POWER(RawData!B39+A61+RawData!B38,2)-(4*RawData!B39*A61)))/(2*RawData!B39))+RawData!B37</f>
      </c>
    </row>
    <row r="62">
      <c r="A62" s="0">
        <v>5.16392665189664e-08</v>
      </c>
      <c r="B62" s="0">
        <f>((RawData!B36-RawData!B37)*(RawData!B39+A62+RawData!B38-SQRT(POWER(RawData!B39+A62+RawData!B38,2)-(4*RawData!B39*A62)))/(2*RawData!B39))+RawData!B37</f>
      </c>
    </row>
    <row r="63">
      <c r="A63" s="0">
        <v>4.81905884235466e-08</v>
      </c>
      <c r="B63" s="0">
        <f>((RawData!B36-RawData!B37)*(RawData!B39+A63+RawData!B38-SQRT(POWER(RawData!B39+A63+RawData!B38,2)-(4*RawData!B39*A63)))/(2*RawData!B39))+RawData!B37</f>
      </c>
    </row>
    <row r="64">
      <c r="A64" s="0">
        <v>4.49722269342208e-08</v>
      </c>
      <c r="B64" s="0">
        <f>((RawData!B36-RawData!B37)*(RawData!B39+A64+RawData!B38-SQRT(POWER(RawData!B39+A64+RawData!B38,2)-(4*RawData!B39*A64)))/(2*RawData!B39))+RawData!B37</f>
      </c>
    </row>
    <row r="65">
      <c r="A65" s="0">
        <v>4.19688005808792e-08</v>
      </c>
      <c r="B65" s="0">
        <f>((RawData!B36-RawData!B37)*(RawData!B39+A65+RawData!B38-SQRT(POWER(RawData!B39+A65+RawData!B38,2)-(4*RawData!B39*A65)))/(2*RawData!B39))+RawData!B37</f>
      </c>
    </row>
    <row r="66">
      <c r="A66" s="0">
        <v>3.91659551299052e-08</v>
      </c>
      <c r="B66" s="0">
        <f>((RawData!B36-RawData!B37)*(RawData!B39+A66+RawData!B38-SQRT(POWER(RawData!B39+A66+RawData!B38,2)-(4*RawData!B39*A66)))/(2*RawData!B39))+RawData!B37</f>
      </c>
    </row>
    <row r="67">
      <c r="A67" s="0">
        <v>3.6550294981187e-08</v>
      </c>
      <c r="B67" s="0">
        <f>((RawData!B36-RawData!B37)*(RawData!B39+A67+RawData!B38-SQRT(POWER(RawData!B39+A67+RawData!B38,2)-(4*RawData!B39*A67)))/(2*RawData!B39))+RawData!B37</f>
      </c>
    </row>
    <row r="68">
      <c r="A68" s="0">
        <v>3.41093191467131e-08</v>
      </c>
      <c r="B68" s="0">
        <f>((RawData!B36-RawData!B37)*(RawData!B39+A68+RawData!B38-SQRT(POWER(RawData!B39+A68+RawData!B38,2)-(4*RawData!B39*A68)))/(2*RawData!B39))+RawData!B37</f>
      </c>
    </row>
    <row r="69">
      <c r="A69" s="0">
        <v>3.18313615047751e-08</v>
      </c>
      <c r="B69" s="0">
        <f>((RawData!B36-RawData!B37)*(RawData!B39+A69+RawData!B38-SQRT(POWER(RawData!B39+A69+RawData!B38,2)-(4*RawData!B39*A69)))/(2*RawData!B39))+RawData!B37</f>
      </c>
    </row>
    <row r="70">
      <c r="A70" s="0">
        <v>2.97055350442349e-08</v>
      </c>
      <c r="B70" s="0">
        <f>((RawData!B36-RawData!B37)*(RawData!B39+A70+RawData!B38-SQRT(POWER(RawData!B39+A70+RawData!B38,2)-(4*RawData!B39*A70)))/(2*RawData!B39))+RawData!B37</f>
      </c>
    </row>
    <row r="71">
      <c r="A71" s="0">
        <v>2.77216798323846e-08</v>
      </c>
      <c r="B71" s="0">
        <f>((RawData!B36-RawData!B37)*(RawData!B39+A71+RawData!B38-SQRT(POWER(RawData!B39+A71+RawData!B38,2)-(4*RawData!B39*A71)))/(2*RawData!B39))+RawData!B37</f>
      </c>
    </row>
    <row r="72">
      <c r="A72" s="0">
        <v>2.58703144577221e-08</v>
      </c>
      <c r="B72" s="0">
        <f>((RawData!B36-RawData!B37)*(RawData!B39+A72+RawData!B38-SQRT(POWER(RawData!B39+A72+RawData!B38,2)-(4*RawData!B39*A72)))/(2*RawData!B39))+RawData!B37</f>
      </c>
    </row>
    <row r="73">
      <c r="A73" s="0">
        <v>2.41425907155733e-08</v>
      </c>
      <c r="B73" s="0">
        <f>((RawData!B36-RawData!B37)*(RawData!B39+A73+RawData!B38-SQRT(POWER(RawData!B39+A73+RawData!B38,2)-(4*RawData!B39*A73)))/(2*RawData!B39))+RawData!B37</f>
      </c>
    </row>
    <row r="74">
      <c r="A74" s="0">
        <v>2.25302513199914e-08</v>
      </c>
      <c r="B74" s="0">
        <f>((RawData!B36-RawData!B37)*(RawData!B39+A74+RawData!B38-SQRT(POWER(RawData!B39+A74+RawData!B38,2)-(4*RawData!B39*A74)))/(2*RawData!B39))+RawData!B37</f>
      </c>
    </row>
    <row r="75">
      <c r="A75" s="0">
        <v>2.10255904398253e-08</v>
      </c>
      <c r="B75" s="0">
        <f>((RawData!B36-RawData!B37)*(RawData!B39+A75+RawData!B38-SQRT(POWER(RawData!B39+A75+RawData!B38,2)-(4*RawData!B39*A75)))/(2*RawData!B39))+RawData!B37</f>
      </c>
    </row>
    <row r="76">
      <c r="A76" s="0">
        <v>1.96214168703487e-08</v>
      </c>
      <c r="B76" s="0">
        <f>((RawData!B36-RawData!B37)*(RawData!B39+A76+RawData!B38-SQRT(POWER(RawData!B39+A76+RawData!B38,2)-(4*RawData!B39*A76)))/(2*RawData!B39))+RawData!B37</f>
      </c>
    </row>
    <row r="77">
      <c r="A77" s="0">
        <v>1.83110196644353e-08</v>
      </c>
      <c r="B77" s="0">
        <f>((RawData!B36-RawData!B37)*(RawData!B39+A77+RawData!B38-SQRT(POWER(RawData!B39+A77+RawData!B38,2)-(4*RawData!B39*A77)))/(2*RawData!B39))+RawData!B37</f>
      </c>
    </row>
    <row r="78">
      <c r="A78" s="0">
        <v>1.70881360590234e-08</v>
      </c>
      <c r="B78" s="0">
        <f>((RawData!B36-RawData!B37)*(RawData!B39+A78+RawData!B38-SQRT(POWER(RawData!B39+A78+RawData!B38,2)-(4*RawData!B39*A78)))/(2*RawData!B39))+RawData!B37</f>
      </c>
    </row>
    <row r="79">
      <c r="A79" s="0">
        <v>1.59469215435798e-08</v>
      </c>
      <c r="B79" s="0">
        <f>((RawData!B36-RawData!B37)*(RawData!B39+A79+RawData!B38-SQRT(POWER(RawData!B39+A79+RawData!B38,2)-(4*RawData!B39*A79)))/(2*RawData!B39))+RawData!B37</f>
      </c>
    </row>
    <row r="80">
      <c r="A80" s="0">
        <v>1.4881921927512e-08</v>
      </c>
      <c r="B80" s="0">
        <f>((RawData!B36-RawData!B37)*(RawData!B39+A80+RawData!B38-SQRT(POWER(RawData!B39+A80+RawData!B38,2)-(4*RawData!B39*A80)))/(2*RawData!B39))+RawData!B37</f>
      </c>
    </row>
    <row r="81">
      <c r="A81" s="0">
        <v>1.38880472730316e-08</v>
      </c>
      <c r="B81" s="0">
        <f>((RawData!B36-RawData!B37)*(RawData!B39+A81+RawData!B38-SQRT(POWER(RawData!B39+A81+RawData!B38,2)-(4*RawData!B39*A81)))/(2*RawData!B39))+RawData!B37</f>
      </c>
    </row>
    <row r="82">
      <c r="A82" s="0">
        <v>1.29605475688856e-08</v>
      </c>
      <c r="B82" s="0">
        <f>((RawData!B36-RawData!B37)*(RawData!B39+A82+RawData!B38-SQRT(POWER(RawData!B39+A82+RawData!B38,2)-(4*RawData!B39*A82)))/(2*RawData!B39))+RawData!B37</f>
      </c>
    </row>
    <row r="83">
      <c r="A83" s="0">
        <v>1.20949900286938e-08</v>
      </c>
      <c r="B83" s="0">
        <f>((RawData!B36-RawData!B37)*(RawData!B39+A83+RawData!B38-SQRT(POWER(RawData!B39+A83+RawData!B38,2)-(4*RawData!B39*A83)))/(2*RawData!B39))+RawData!B37</f>
      </c>
    </row>
    <row r="84">
      <c r="A84" s="0">
        <v>1.12872379053952e-08</v>
      </c>
      <c r="B84" s="0">
        <f>((RawData!B36-RawData!B37)*(RawData!B39+A84+RawData!B38-SQRT(POWER(RawData!B39+A84+RawData!B38,2)-(4*RawData!B39*A84)))/(2*RawData!B39))+RawData!B37</f>
      </c>
    </row>
    <row r="85">
      <c r="A85" s="0">
        <v>1.05334307205501e-08</v>
      </c>
      <c r="B85" s="0">
        <f>((RawData!B36-RawData!B37)*(RawData!B39+A85+RawData!B38-SQRT(POWER(RawData!B39+A85+RawData!B38,2)-(4*RawData!B39*A85)))/(2*RawData!B39))+RawData!B37</f>
      </c>
    </row>
    <row r="86">
      <c r="A86" s="0">
        <v>9.82996581400967e-09</v>
      </c>
      <c r="B86" s="0">
        <f>((RawData!B36-RawData!B37)*(RawData!B39+A86+RawData!B38-SQRT(POWER(RawData!B39+A86+RawData!B38,2)-(4*RawData!B39*A86)))/(2*RawData!B39))+RawData!B37</f>
      </c>
    </row>
    <row r="87">
      <c r="A87" s="0">
        <v>9.17348112577248e-09</v>
      </c>
      <c r="B87" s="0">
        <f>((RawData!B36-RawData!B37)*(RawData!B39+A87+RawData!B38-SQRT(POWER(RawData!B39+A87+RawData!B38,2)-(4*RawData!B39*A87)))/(2*RawData!B39))+RawData!B37</f>
      </c>
    </row>
    <row r="88">
      <c r="A88" s="0">
        <v>8.56083912773832e-09</v>
      </c>
      <c r="B88" s="0">
        <f>((RawData!B36-RawData!B37)*(RawData!B39+A88+RawData!B38-SQRT(POWER(RawData!B39+A88+RawData!B38,2)-(4*RawData!B39*A88)))/(2*RawData!B39))+RawData!B37</f>
      </c>
    </row>
    <row r="89">
      <c r="A89" s="0">
        <v>7.98911182856376e-09</v>
      </c>
      <c r="B89" s="0">
        <f>((RawData!B36-RawData!B37)*(RawData!B39+A89+RawData!B38-SQRT(POWER(RawData!B39+A89+RawData!B38,2)-(4*RawData!B39*A89)))/(2*RawData!B39))+RawData!B37</f>
      </c>
    </row>
    <row r="90">
      <c r="A90" s="0">
        <v>7.45556677995414e-09</v>
      </c>
      <c r="B90" s="0">
        <f>((RawData!B36-RawData!B37)*(RawData!B39+A90+RawData!B38-SQRT(POWER(RawData!B39+A90+RawData!B38,2)-(4*RawData!B39*A90)))/(2*RawData!B39))+RawData!B37</f>
      </c>
    </row>
    <row r="91">
      <c r="A91" s="0">
        <v>6.95765401751156e-09</v>
      </c>
      <c r="B91" s="0">
        <f>((RawData!B36-RawData!B37)*(RawData!B39+A91+RawData!B38-SQRT(POWER(RawData!B39+A91+RawData!B38,2)-(4*RawData!B39*A91)))/(2*RawData!B39))+RawData!B37</f>
      </c>
    </row>
    <row r="92">
      <c r="A92" s="0">
        <v>6.49299387372566e-09</v>
      </c>
      <c r="B92" s="0">
        <f>((RawData!B36-RawData!B37)*(RawData!B39+A92+RawData!B38-SQRT(POWER(RawData!B39+A92+RawData!B38,2)-(4*RawData!B39*A92)))/(2*RawData!B39))+RawData!B37</f>
      </c>
    </row>
    <row r="93">
      <c r="A93" s="0">
        <v>6.05936560486192e-09</v>
      </c>
      <c r="B93" s="0">
        <f>((RawData!B36-RawData!B37)*(RawData!B39+A93+RawData!B38-SQRT(POWER(RawData!B39+A93+RawData!B38,2)-(4*RawData!B39*A93)))/(2*RawData!B39))+RawData!B37</f>
      </c>
    </row>
    <row r="94">
      <c r="A94" s="0">
        <v>5.65469677739218e-09</v>
      </c>
      <c r="B94" s="0">
        <f>((RawData!B36-RawData!B37)*(RawData!B39+A94+RawData!B38-SQRT(POWER(RawData!B39+A94+RawData!B38,2)-(4*RawData!B39*A94)))/(2*RawData!B39))+RawData!B37</f>
      </c>
    </row>
    <row r="95">
      <c r="A95" s="0">
        <v>5.27705336324201e-09</v>
      </c>
      <c r="B95" s="0">
        <f>((RawData!B36-RawData!B37)*(RawData!B39+A95+RawData!B38-SQRT(POWER(RawData!B39+A95+RawData!B38,2)-(4*RawData!B39*A95)))/(2*RawData!B39))+RawData!B37</f>
      </c>
    </row>
    <row r="96">
      <c r="A96" s="0">
        <v>4.92463049651733e-09</v>
      </c>
      <c r="B96" s="0">
        <f>((RawData!B36-RawData!B37)*(RawData!B39+A96+RawData!B38-SQRT(POWER(RawData!B39+A96+RawData!B38,2)-(4*RawData!B39*A96)))/(2*RawData!B39))+RawData!B37</f>
      </c>
    </row>
    <row r="97">
      <c r="A97" s="0">
        <v>4.59574384753408e-09</v>
      </c>
      <c r="B97" s="0">
        <f>((RawData!B36-RawData!B37)*(RawData!B39+A97+RawData!B38-SQRT(POWER(RawData!B39+A97+RawData!B38,2)-(4*RawData!B39*A97)))/(2*RawData!B39))+RawData!B37</f>
      </c>
    </row>
    <row r="98">
      <c r="A98" s="0">
        <v>4.2888215729249e-09</v>
      </c>
      <c r="B98" s="0">
        <f>((RawData!B36-RawData!B37)*(RawData!B39+A98+RawData!B38-SQRT(POWER(RawData!B39+A98+RawData!B38,2)-(4*RawData!B39*A98)))/(2*RawData!B39))+RawData!B37</f>
      </c>
    </row>
    <row r="99">
      <c r="A99" s="0">
        <v>4.00239680335003e-09</v>
      </c>
      <c r="B99" s="0">
        <f>((RawData!B36-RawData!B37)*(RawData!B39+A99+RawData!B38-SQRT(POWER(RawData!B39+A99+RawData!B38,2)-(4*RawData!B39*A99)))/(2*RawData!B39))+RawData!B37</f>
      </c>
    </row>
    <row r="100">
      <c r="A100" s="0">
        <v>3.73510063290924e-09</v>
      </c>
      <c r="B100" s="0">
        <f>((RawData!B36-RawData!B37)*(RawData!B39+A100+RawData!B38-SQRT(POWER(RawData!B39+A100+RawData!B38,2)-(4*RawData!B39*A100)))/(2*RawData!B39))+RawData!B37</f>
      </c>
    </row>
    <row r="101">
      <c r="A101" s="0">
        <v>3.48565557674889e-09</v>
      </c>
      <c r="B101" s="0">
        <f>((RawData!B36-RawData!B37)*(RawData!B39+A101+RawData!B38-SQRT(POWER(RawData!B39+A101+RawData!B38,2)-(4*RawData!B39*A101)))/(2*RawData!B39))+RawData!B37</f>
      </c>
    </row>
    <row r="102">
      <c r="A102" s="0">
        <v>3.25286946559651e-09</v>
      </c>
      <c r="B102" s="0">
        <f>((RawData!B36-RawData!B37)*(RawData!B39+A102+RawData!B38-SQRT(POWER(RawData!B39+A102+RawData!B38,2)-(4*RawData!B39*A102)))/(2*RawData!B39))+RawData!B37</f>
      </c>
    </row>
    <row r="103">
      <c r="A103" s="0">
        <v>3.03562974804277e-09</v>
      </c>
      <c r="B103" s="0">
        <f>((RawData!B36-RawData!B37)*(RawData!B39+A103+RawData!B38-SQRT(POWER(RawData!B39+A103+RawData!B38,2)-(4*RawData!B39*A103)))/(2*RawData!B39))+RawData!B37</f>
      </c>
    </row>
    <row r="104">
      <c r="A104" s="0">
        <v>2.83289817334012e-09</v>
      </c>
      <c r="B104" s="0">
        <f>((RawData!B36-RawData!B37)*(RawData!B39+A104+RawData!B38-SQRT(POWER(RawData!B39+A104+RawData!B38,2)-(4*RawData!B39*A104)))/(2*RawData!B39))+RawData!B37</f>
      </c>
    </row>
    <row r="105">
      <c r="A105" s="0">
        <v>2.64370582930548e-09</v>
      </c>
      <c r="B105" s="0">
        <f>((RawData!B36-RawData!B37)*(RawData!B39+A105+RawData!B38-SQRT(POWER(RawData!B39+A105+RawData!B38,2)-(4*RawData!B39*A105)))/(2*RawData!B39))+RawData!B37</f>
      </c>
    </row>
    <row r="106">
      <c r="A106" s="0">
        <v>2.46714851161177e-09</v>
      </c>
      <c r="B106" s="0">
        <f>((RawData!B36-RawData!B37)*(RawData!B39+A106+RawData!B38-SQRT(POWER(RawData!B39+A106+RawData!B38,2)-(4*RawData!B39*A106)))/(2*RawData!B39))+RawData!B37</f>
      </c>
    </row>
    <row r="107">
      <c r="A107" s="0">
        <v>2.3023824023368e-09</v>
      </c>
      <c r="B107" s="0">
        <f>((RawData!B36-RawData!B37)*(RawData!B39+A107+RawData!B38-SQRT(POWER(RawData!B39+A107+RawData!B38,2)-(4*RawData!B39*A107)))/(2*RawData!B39))+RawData!B37</f>
      </c>
    </row>
    <row r="108">
      <c r="A108" s="0">
        <v>2.14862003711609e-09</v>
      </c>
      <c r="B108" s="0">
        <f>((RawData!B36-RawData!B37)*(RawData!B39+A108+RawData!B38-SQRT(POWER(RawData!B39+A108+RawData!B38,2)-(4*RawData!B39*A108)))/(2*RawData!B39))+RawData!B37</f>
      </c>
    </row>
    <row r="109">
      <c r="A109" s="0">
        <v>2.00512654162539e-09</v>
      </c>
      <c r="B109" s="0">
        <f>((RawData!B36-RawData!B37)*(RawData!B39+A109+RawData!B38-SQRT(POWER(RawData!B39+A109+RawData!B38,2)-(4*RawData!B39*A109)))/(2*RawData!B39))+RawData!B37</f>
      </c>
    </row>
    <row r="110">
      <c r="A110" s="0">
        <v>1.87121611940612e-09</v>
      </c>
      <c r="B110" s="0">
        <f>((RawData!B36-RawData!B37)*(RawData!B39+A110+RawData!B38-SQRT(POWER(RawData!B39+A110+RawData!B38,2)-(4*RawData!B39*A110)))/(2*RawData!B39))+RawData!B37</f>
      </c>
    </row>
    <row r="111">
      <c r="A111" s="0">
        <v>1.74624877424791e-09</v>
      </c>
      <c r="B111" s="0">
        <f>((RawData!B36-RawData!B37)*(RawData!B39+A111+RawData!B38-SQRT(POWER(RawData!B39+A111+RawData!B38,2)-(4*RawData!B39*A111)))/(2*RawData!B39))+RawData!B37</f>
      </c>
    </row>
    <row r="112">
      <c r="A112" s="0">
        <v>1.62962725146369e-09</v>
      </c>
      <c r="B112" s="0">
        <f>((RawData!B36-RawData!B37)*(RawData!B39+A112+RawData!B38-SQRT(POWER(RawData!B39+A112+RawData!B38,2)-(4*RawData!B39*A112)))/(2*RawData!B39))+RawData!B37</f>
      </c>
    </row>
    <row r="113">
      <c r="A113" s="0">
        <v>1.52079418343864e-09</v>
      </c>
      <c r="B113" s="0">
        <f>((RawData!B36-RawData!B37)*(RawData!B39+A113+RawData!B38-SQRT(POWER(RawData!B39+A113+RawData!B38,2)-(4*RawData!B39*A113)))/(2*RawData!B39))+RawData!B37</f>
      </c>
    </row>
    <row r="114">
      <c r="A114" s="0">
        <v>1.41922942581103e-09</v>
      </c>
      <c r="B114" s="0">
        <f>((RawData!B36-RawData!B37)*(RawData!B39+A114+RawData!B38-SQRT(POWER(RawData!B39+A114+RawData!B38,2)-(4*RawData!B39*A114)))/(2*RawData!B39))+RawData!B37</f>
      </c>
    </row>
    <row r="115">
      <c r="A115" s="0">
        <v>1.32444757155344e-09</v>
      </c>
      <c r="B115" s="0">
        <f>((RawData!B36-RawData!B37)*(RawData!B39+A115+RawData!B38-SQRT(POWER(RawData!B39+A115+RawData!B38,2)-(4*RawData!B39*A115)))/(2*RawData!B39))+RawData!B37</f>
      </c>
    </row>
    <row r="116">
      <c r="A116" s="0">
        <v>1.23599563107379e-09</v>
      </c>
      <c r="B116" s="0">
        <f>((RawData!B36-RawData!B37)*(RawData!B39+A116+RawData!B38-SQRT(POWER(RawData!B39+A116+RawData!B38,2)-(4*RawData!B39*A116)))/(2*RawData!B39))+RawData!B37</f>
      </c>
    </row>
    <row r="117">
      <c r="A117" s="0">
        <v>1.15345086724851e-09</v>
      </c>
      <c r="B117" s="0">
        <f>((RawData!B36-RawData!B37)*(RawData!B39+A117+RawData!B38-SQRT(POWER(RawData!B39+A117+RawData!B38,2)-(4*RawData!B39*A117)))/(2*RawData!B39))+RawData!B37</f>
      </c>
    </row>
    <row r="118">
      <c r="A118" s="0">
        <v>1.07641877504089e-09</v>
      </c>
      <c r="B118" s="0">
        <f>((RawData!B36-RawData!B37)*(RawData!B39+A118+RawData!B38-SQRT(POWER(RawData!B39+A118+RawData!B38,2)-(4*RawData!B39*A118)))/(2*RawData!B39))+RawData!B37</f>
      </c>
    </row>
    <row r="119">
      <c r="A119" s="0">
        <v>1.00453119604868e-09</v>
      </c>
      <c r="B119" s="0">
        <f>((RawData!B36-RawData!B37)*(RawData!B39+A119+RawData!B38-SQRT(POWER(RawData!B39+A119+RawData!B38,2)-(4*RawData!B39*A119)))/(2*RawData!B39))+RawData!B37</f>
      </c>
    </row>
    <row r="120">
      <c r="A120" s="0">
        <v>9.37444558969768e-10</v>
      </c>
      <c r="B120" s="0">
        <f>((RawData!B36-RawData!B37)*(RawData!B39+A120+RawData!B38-SQRT(POWER(RawData!B39+A120+RawData!B38,2)-(4*RawData!B39*A120)))/(2*RawData!B39))+RawData!B37</f>
      </c>
    </row>
    <row r="121">
      <c r="A121" s="0">
        <v>8.74838237576685e-10</v>
      </c>
      <c r="B121" s="0">
        <f>((RawData!B36-RawData!B37)*(RawData!B39+A121+RawData!B38-SQRT(POWER(RawData!B39+A121+RawData!B38,2)-(4*RawData!B39*A121)))/(2*RawData!B39))+RawData!B37</f>
      </c>
    </row>
    <row r="122">
      <c r="A122" s="0">
        <v>8.1641301835212e-10</v>
      </c>
      <c r="B122" s="0">
        <f>((RawData!B36-RawData!B37)*(RawData!B39+A122+RawData!B38-SQRT(POWER(RawData!B39+A122+RawData!B38,2)-(4*RawData!B39*A122)))/(2*RawData!B39))+RawData!B37</f>
      </c>
    </row>
    <row r="123">
      <c r="A123" s="0">
        <v>7.61889670461955e-10</v>
      </c>
      <c r="B123" s="0">
        <f>((RawData!B36-RawData!B37)*(RawData!B39+A123+RawData!B38-SQRT(POWER(RawData!B39+A123+RawData!B38,2)-(4*RawData!B39*A123)))/(2*RawData!B39))+RawData!B37</f>
      </c>
    </row>
    <row r="124">
      <c r="A124" s="0">
        <v>7.1100761123124e-10</v>
      </c>
      <c r="B124" s="0">
        <f>((RawData!B36-RawData!B37)*(RawData!B39+A124+RawData!B38-SQRT(POWER(RawData!B39+A124+RawData!B38,2)-(4*RawData!B39*A124)))/(2*RawData!B39))+RawData!B37</f>
      </c>
    </row>
    <row r="125">
      <c r="A125" s="0">
        <v>6.63523660745047e-10</v>
      </c>
      <c r="B125" s="0">
        <f>((RawData!B36-RawData!B37)*(RawData!B39+A125+RawData!B38-SQRT(POWER(RawData!B39+A125+RawData!B38,2)-(4*RawData!B39*A125)))/(2*RawData!B39))+RawData!B37</f>
      </c>
    </row>
    <row r="126">
      <c r="A126" s="0">
        <v>6.19210879622106e-10</v>
      </c>
      <c r="B126" s="0">
        <f>((RawData!B36-RawData!B37)*(RawData!B39+A126+RawData!B38-SQRT(POWER(RawData!B39+A126+RawData!B38,2)-(4*RawData!B39*A126)))/(2*RawData!B39))+RawData!B37</f>
      </c>
    </row>
    <row r="127">
      <c r="A127" s="0">
        <v>5.77857484406586e-10</v>
      </c>
      <c r="B127" s="0">
        <f>((RawData!B36-RawData!B37)*(RawData!B39+A127+RawData!B38-SQRT(POWER(RawData!B39+A127+RawData!B38,2)-(4*RawData!B39*A127)))/(2*RawData!B39))+RawData!B37</f>
      </c>
    </row>
    <row r="128">
      <c r="A128" s="0">
        <v>5.39265835394387e-10</v>
      </c>
      <c r="B128" s="0">
        <f>((RawData!B36-RawData!B37)*(RawData!B39+A128+RawData!B38-SQRT(POWER(RawData!B39+A128+RawData!B38,2)-(4*RawData!B39*A128)))/(2*RawData!B39))+RawData!B37</f>
      </c>
    </row>
    <row r="129">
      <c r="A129" s="0">
        <v>5.03251492056458e-10</v>
      </c>
      <c r="B129" s="0">
        <f>((RawData!B36-RawData!B37)*(RawData!B39+A129+RawData!B38-SQRT(POWER(RawData!B39+A129+RawData!B38,2)-(4*RawData!B39*A129)))/(2*RawData!B39))+RawData!B37</f>
      </c>
    </row>
    <row r="130">
      <c r="A130" s="0">
        <v>4.69642331544757e-10</v>
      </c>
      <c r="B130" s="0">
        <f>((RawData!B36-RawData!B37)*(RawData!B39+A130+RawData!B38-SQRT(POWER(RawData!B39+A130+RawData!B38,2)-(4*RawData!B39*A130)))/(2*RawData!B39))+RawData!B37</f>
      </c>
    </row>
    <row r="131">
      <c r="A131" s="0">
        <v>4.38277726067927e-10</v>
      </c>
      <c r="B131" s="0">
        <f>((RawData!B36-RawData!B37)*(RawData!B39+A131+RawData!B38-SQRT(POWER(RawData!B39+A131+RawData!B38,2)-(4*RawData!B39*A131)))/(2*RawData!B39))+RawData!B37</f>
      </c>
    </row>
    <row r="132">
      <c r="A132" s="0">
        <v>4.09007775205133e-10</v>
      </c>
      <c r="B132" s="0">
        <f>((RawData!B36-RawData!B37)*(RawData!B39+A132+RawData!B38-SQRT(POWER(RawData!B39+A132+RawData!B38,2)-(4*RawData!B39*A132)))/(2*RawData!B39))+RawData!B37</f>
      </c>
    </row>
    <row r="133">
      <c r="A133" s="0">
        <v>3.8169258948908e-10</v>
      </c>
      <c r="B133" s="0">
        <f>((RawData!B36-RawData!B37)*(RawData!B39+A133+RawData!B38-SQRT(POWER(RawData!B39+A133+RawData!B38,2)-(4*RawData!B39*A133)))/(2*RawData!B39))+RawData!B37</f>
      </c>
    </row>
    <row r="134">
      <c r="A134" s="0">
        <v>3.56201621834232e-10</v>
      </c>
      <c r="B134" s="0">
        <f>((RawData!B36-RawData!B37)*(RawData!B39+A134+RawData!B38-SQRT(POWER(RawData!B39+A134+RawData!B38,2)-(4*RawData!B39*A134)))/(2*RawData!B39))+RawData!B37</f>
      </c>
    </row>
    <row r="135">
      <c r="A135" s="0">
        <v>3.32413043614951e-10</v>
      </c>
      <c r="B135" s="0">
        <f>((RawData!B36-RawData!B37)*(RawData!B39+A135+RawData!B38-SQRT(POWER(RawData!B39+A135+RawData!B38,2)-(4*RawData!B39*A135)))/(2*RawData!B39))+RawData!B37</f>
      </c>
    </row>
    <row r="136">
      <c r="A136" s="0">
        <v>3.10213162411649e-10</v>
      </c>
      <c r="B136" s="0">
        <f>((RawData!B36-RawData!B37)*(RawData!B39+A136+RawData!B38-SQRT(POWER(RawData!B39+A136+RawData!B38,2)-(4*RawData!B39*A136)))/(2*RawData!B39))+RawData!B37</f>
      </c>
    </row>
    <row r="137">
      <c r="A137" s="0">
        <v>2.89495878642194e-10</v>
      </c>
      <c r="B137" s="0">
        <f>((RawData!B36-RawData!B37)*(RawData!B39+A137+RawData!B38-SQRT(POWER(RawData!B39+A137+RawData!B38,2)-(4*RawData!B39*A137)))/(2*RawData!B39))+RawData!B37</f>
      </c>
    </row>
    <row r="138">
      <c r="A138" s="0">
        <v>2.70162178481659e-10</v>
      </c>
      <c r="B138" s="0">
        <f>((RawData!B36-RawData!B37)*(RawData!B39+A138+RawData!B38-SQRT(POWER(RawData!B39+A138+RawData!B38,2)-(4*RawData!B39*A138)))/(2*RawData!B39))+RawData!B37</f>
      </c>
    </row>
    <row r="139">
      <c r="A139" s="0">
        <v>2.52119660646934e-10</v>
      </c>
      <c r="B139" s="0">
        <f>((RawData!B36-RawData!B37)*(RawData!B39+A139+RawData!B38-SQRT(POWER(RawData!B39+A139+RawData!B38,2)-(4*RawData!B39*A139)))/(2*RawData!B39))+RawData!B37</f>
      </c>
    </row>
    <row r="140">
      <c r="A140" s="0">
        <v>2.35282094784561e-10</v>
      </c>
      <c r="B140" s="0">
        <f>((RawData!B36-RawData!B37)*(RawData!B39+A140+RawData!B38-SQRT(POWER(RawData!B39+A140+RawData!B38,2)-(4*RawData!B39*A140)))/(2*RawData!B39))+RawData!B37</f>
      </c>
    </row>
    <row r="141">
      <c r="A141" s="0">
        <v>2.19569009351212e-10</v>
      </c>
      <c r="B141" s="0">
        <f>((RawData!B36-RawData!B37)*(RawData!B39+A141+RawData!B38-SQRT(POWER(RawData!B39+A141+RawData!B38,2)-(4*RawData!B39*A141)))/(2*RawData!B39))+RawData!B37</f>
      </c>
    </row>
    <row r="142">
      <c r="A142" s="0">
        <v>2.04905307017167e-10</v>
      </c>
      <c r="B142" s="0">
        <f>((RawData!B36-RawData!B37)*(RawData!B39+A142+RawData!B38-SQRT(POWER(RawData!B39+A142+RawData!B38,2)-(4*RawData!B39*A142)))/(2*RawData!B39))+RawData!B37</f>
      </c>
    </row>
    <row r="143">
      <c r="A143" s="0">
        <v>1.91220905754693e-10</v>
      </c>
      <c r="B143" s="0">
        <f>((RawData!B36-RawData!B37)*(RawData!B39+A143+RawData!B38-SQRT(POWER(RawData!B39+A143+RawData!B38,2)-(4*RawData!B39*A143)))/(2*RawData!B39))+RawData!B37</f>
      </c>
    </row>
    <row r="144">
      <c r="A144" s="0">
        <v>1.78450403895989e-10</v>
      </c>
      <c r="B144" s="0">
        <f>((RawData!B36-RawData!B37)*(RawData!B39+A144+RawData!B38-SQRT(POWER(RawData!B39+A144+RawData!B38,2)-(4*RawData!B39*A144)))/(2*RawData!B39))+RawData!B37</f>
      </c>
    </row>
    <row r="145">
      <c r="A145" s="0">
        <v>1.6653276755991e-10</v>
      </c>
      <c r="B145" s="0">
        <f>((RawData!B36-RawData!B37)*(RawData!B39+A145+RawData!B38-SQRT(POWER(RawData!B39+A145+RawData!B38,2)-(4*RawData!B39*A145)))/(2*RawData!B39))+RawData!B37</f>
      </c>
    </row>
    <row r="146">
      <c r="A146" s="0">
        <v>1.55411038953588e-10</v>
      </c>
      <c r="B146" s="0">
        <f>((RawData!B36-RawData!B37)*(RawData!B39+A146+RawData!B38-SQRT(POWER(RawData!B39+A146+RawData!B38,2)-(4*RawData!B39*A146)))/(2*RawData!B39))+RawData!B37</f>
      </c>
    </row>
    <row r="147">
      <c r="A147" s="0">
        <v>1.4503206415485e-10</v>
      </c>
      <c r="B147" s="0">
        <f>((RawData!B36-RawData!B37)*(RawData!B39+A147+RawData!B38-SQRT(POWER(RawData!B39+A147+RawData!B38,2)-(4*RawData!B39*A147)))/(2*RawData!B39))+RawData!B37</f>
      </c>
    </row>
    <row r="148">
      <c r="A148" s="0">
        <v>1.35346239074421e-10</v>
      </c>
      <c r="B148" s="0">
        <f>((RawData!B36-RawData!B37)*(RawData!B39+A148+RawData!B38-SQRT(POWER(RawData!B39+A148+RawData!B38,2)-(4*RawData!B39*A148)))/(2*RawData!B39))+RawData!B37</f>
      </c>
    </row>
    <row r="149">
      <c r="A149" s="0">
        <v>1.26307272383793e-10</v>
      </c>
      <c r="B149" s="0">
        <f>((RawData!B36-RawData!B37)*(RawData!B39+A149+RawData!B38-SQRT(POWER(RawData!B39+A149+RawData!B38,2)-(4*RawData!B39*A149)))/(2*RawData!B39))+RawData!B37</f>
      </c>
    </row>
    <row r="150">
      <c r="A150" s="0">
        <v>1.17871964275723e-10</v>
      </c>
      <c r="B150" s="0">
        <f>((RawData!B36-RawData!B37)*(RawData!B39+A150+RawData!B38-SQRT(POWER(RawData!B39+A150+RawData!B38,2)-(4*RawData!B39*A150)))/(2*RawData!B39))+RawData!B37</f>
      </c>
    </row>
    <row r="151">
      <c r="A151" s="0">
        <v>1.10000000000001e-10</v>
      </c>
      <c r="B151" s="0">
        <f>((RawData!B36-RawData!B37)*(RawData!B39+A151+RawData!B38-SQRT(POWER(RawData!B39+A151+RawData!B38,2)-(4*RawData!B39*A151)))/(2*RawData!B39))+RawData!B37</f>
      </c>
    </row>
  </sheetData>
  <headerFooter/>
</worksheet>
</file>